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bradcannell/Desktop/Git/Academia/Teaching/aphs20203/Lecture Slides/Module 08 - Statistics Overview and Descriptive Statistics/Continuous Data Summaries and Graphs/assets/"/>
    </mc:Choice>
  </mc:AlternateContent>
  <xr:revisionPtr revIDLastSave="0" documentId="13_ncr:1_{3581BFA8-1DF5-CD46-92EB-E4A85C1CD18B}" xr6:coauthVersionLast="47" xr6:coauthVersionMax="47" xr10:uidLastSave="{00000000-0000-0000-0000-000000000000}"/>
  <bookViews>
    <workbookView xWindow="73740" yWindow="600" windowWidth="24660" windowHeight="26400" activeTab="1" xr2:uid="{00000000-000D-0000-FFFF-FFFF00000000}"/>
  </bookViews>
  <sheets>
    <sheet name="sleep_and_stress" sheetId="1" r:id="rId1"/>
    <sheet name="height_and_weight" sheetId="2" r:id="rId2"/>
    <sheet name="comparing_distributions" sheetId="3" r:id="rId3"/>
  </sheets>
  <definedNames>
    <definedName name="_xlchart.v1.0" hidden="1">sleep_and_stress!$B$2:$B$13</definedName>
    <definedName name="_xlchart.v1.1" hidden="1">sleep_and_stress!$B$2:$B$13</definedName>
  </definedNames>
  <calcPr calcId="191029"/>
  <pivotCaches>
    <pivotCache cacheId="1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G14" i="2"/>
  <c r="G13" i="2"/>
  <c r="G12" i="2"/>
  <c r="G11" i="2"/>
  <c r="G4" i="2" a="1"/>
  <c r="G3" i="2"/>
  <c r="I5" i="3"/>
  <c r="J5" i="3"/>
  <c r="K5" i="3"/>
  <c r="L5" i="3"/>
  <c r="H5" i="3"/>
  <c r="I4" i="3"/>
  <c r="J4" i="3"/>
  <c r="K4" i="3"/>
  <c r="L4" i="3"/>
  <c r="H4" i="3"/>
  <c r="I3" i="3"/>
  <c r="J3" i="3"/>
  <c r="K3" i="3"/>
  <c r="L3" i="3"/>
  <c r="H3" i="3"/>
  <c r="G10" i="2"/>
  <c r="G9" i="2"/>
  <c r="H8" i="2"/>
  <c r="G8" i="2"/>
  <c r="G7" i="2"/>
  <c r="G6" i="2"/>
  <c r="G2" i="2"/>
  <c r="F12" i="1"/>
  <c r="F11" i="1"/>
  <c r="G10" i="1"/>
  <c r="F10" i="1"/>
  <c r="F9" i="1"/>
  <c r="F8" i="1"/>
  <c r="G4" i="1" a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<sst xmlns="http://schemas.openxmlformats.org/spreadsheetml/2006/main" count="99" uniqueCount="68">
  <si>
    <t>student</t>
  </si>
  <si>
    <t>sleep_hours</t>
  </si>
  <si>
    <t>stress_score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</si>
  <si>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</si>
  <si>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</si>
  <si>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</si>
  <si>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</si>
  <si>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</si>
  <si>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</si>
  <si>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</si>
  <si>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</si>
  <si>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</si>
  <si>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</si>
  <si>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</si>
  <si>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</si>
  <si>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id</t>
  </si>
  <si>
    <t>sex</t>
  </si>
  <si>
    <t>ht_in</t>
  </si>
  <si>
    <t>wt_lbs</t>
  </si>
  <si>
    <t>001</t>
  </si>
  <si>
    <t>Male</t>
  </si>
  <si>
    <t>002</t>
  </si>
  <si>
    <t>003</t>
  </si>
  <si>
    <t>Female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</si>
  <si>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</si>
  <si>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</si>
  <si>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</si>
  <si>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</si>
  <si>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</si>
  <si>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</si>
  <si>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</si>
  <si>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</si>
  <si>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</si>
  <si>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</si>
  <si>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</si>
  <si>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</si>
  <si>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</si>
  <si>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</si>
  <si>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</si>
  <si>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</si>
  <si>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</si>
  <si>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Mean:</t>
  </si>
  <si>
    <t>Median:</t>
  </si>
  <si>
    <t>Mode:</t>
  </si>
  <si>
    <t>Min:</t>
  </si>
  <si>
    <t>Max:</t>
  </si>
  <si>
    <t>Range:</t>
  </si>
  <si>
    <t>Varance:</t>
  </si>
  <si>
    <t>SD:</t>
  </si>
  <si>
    <t>Sleep Hours</t>
  </si>
  <si>
    <t>Heights</t>
  </si>
  <si>
    <t>all_68</t>
  </si>
  <si>
    <t>half_58_78</t>
  </si>
  <si>
    <t>even_58_78</t>
  </si>
  <si>
    <t>half_48_88</t>
  </si>
  <si>
    <t>even_48_88</t>
  </si>
  <si>
    <t>Comparisons</t>
  </si>
  <si>
    <t>Mean</t>
  </si>
  <si>
    <t>Variance</t>
  </si>
  <si>
    <t>SD</t>
  </si>
  <si>
    <t>Q1:</t>
  </si>
  <si>
    <t>Q2:</t>
  </si>
  <si>
    <t>Q3:</t>
  </si>
  <si>
    <t>IQR:</t>
  </si>
  <si>
    <t>Row Labels</t>
  </si>
  <si>
    <t>(blank)</t>
  </si>
  <si>
    <t>Grand Total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</si>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</sst>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8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7" fillId="33" borderId="0" xfId="0" applyFont="1" applyFill="1" applyAlignment="1">
      <alignment horizontal="center" vertical="center"/>
    </xf>
    <xf numFmtId="0" fontId="17" fillId="3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[practice_data_key.xlsx]height_and_weight!PivotTable5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height_and_weight!$K$1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height_and_weight!$J$2:$J$5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height_and_weight!$K$2:$K$5</c:f>
              <c:numCache>
                <c:formatCode>General</c:formatCode>
                <c:ptCount val="3"/>
                <c:pt idx="0">
                  <c:v>12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0-6144-80C3-B2AEE85A7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4109120"/>
        <c:axId val="2134110912"/>
      </c:barChart>
      <c:catAx>
        <c:axId val="213410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10912"/>
        <c:crosses val="autoZero"/>
        <c:auto val="1"/>
        <c:lblAlgn val="ctr"/>
        <c:lblOffset val="100"/>
        <c:noMultiLvlLbl val="0"/>
      </c:catAx>
      <c:valAx>
        <c:axId val="213411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0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00000000-D370-5348-966D-25456375BCEF}">
          <cx:dataPt idx="0"/>
          <cx:dataPt idx="1"/>
          <cx:dataPt idx="2"/>
          <cx:dataPt idx="3"/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Sleep Duration (hours)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/>
                </a:rPr>
                <a:t>Sleep Duration (hours)</a:t>
              </a:r>
            </a:p>
          </cx:txPr>
          <cx:extLst>
            <cx:ext uri="ext:featex">
              <cx:featureExtension feature="mp" drop="onModelChange">
                <cx:offset top="-0.02777777798473835" left="0.0555555559694767"/>
              </cx:featureExtension>
            </cx:ext>
          </cx:extLst>
        </cx:title>
        <cx:tickLabels/>
      </cx:axis>
      <cx:axis id="1">
        <cx:valScaling/>
        <cx:title>
          <cx:tx>
            <cx:txData>
              <cx:v>Number of 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/>
                </a:rPr>
                <a:t>Number of Students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82F6-A94B-A590-054E5F07F13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15</xdr:row>
      <xdr:rowOff>57150</xdr:rowOff>
    </xdr:from>
    <xdr:to>
      <xdr:col>11</xdr:col>
      <xdr:colOff>0</xdr:colOff>
      <xdr:row>38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187779C-F8AB-F870-FFCC-6D3FAA0DD8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8900" y="3105150"/>
              <a:ext cx="7721600" cy="4794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514350</xdr:colOff>
      <xdr:row>40</xdr:row>
      <xdr:rowOff>95250</xdr:rowOff>
    </xdr:from>
    <xdr:to>
      <xdr:col>11</xdr:col>
      <xdr:colOff>63500</xdr:colOff>
      <xdr:row>64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3C11B31-25AD-1112-7E74-AF9CEC4C1D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9850" y="8223250"/>
              <a:ext cx="7804150" cy="478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520700</xdr:colOff>
      <xdr:row>18</xdr:row>
      <xdr:rowOff>158750</xdr:rowOff>
    </xdr:from>
    <xdr:to>
      <xdr:col>16</xdr:col>
      <xdr:colOff>19050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50913D-7ADB-6B8C-DBC4-8ACEEFA46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nnell, Brad" refreshedDate="46323.621238657404" createdVersion="8" refreshedVersion="8" minRefreshableVersion="3" recordCount="20" xr:uid="{1EE5B863-EBB3-B04D-8372-979AB5CD570C}">
  <cacheSource type="worksheet">
    <worksheetSource ref="A1:B21" sheet="height_and_weight"/>
  </cacheSource>
  <cacheFields count="2">
    <cacheField name="id" numFmtId="164">
      <sharedItems/>
    </cacheField>
    <cacheField name="sex" numFmtId="0">
      <sharedItems containsBlank="1" count="3">
        <s v="Male"/>
        <s v="Female"/>
        <m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001"/>
    <x v="0"/>
  </r>
  <r>
    <s v="002"/>
    <x v="0"/>
  </r>
  <r>
    <s v="003"/>
    <x v="1"/>
  </r>
  <r>
    <s v="004"/>
    <x v="1"/>
  </r>
  <r>
    <s v="005"/>
    <x v="2"/>
  </r>
  <r>
    <s v="006"/>
    <x v="0"/>
  </r>
  <r>
    <s v="007"/>
    <x v="1"/>
  </r>
  <r>
    <s v="008"/>
    <x v="2"/>
  </r>
  <r>
    <s v="009"/>
    <x v="1"/>
  </r>
  <r>
    <s v="010"/>
    <x v="0"/>
  </r>
  <r>
    <s v="011"/>
    <x v="0"/>
  </r>
  <r>
    <s v="012"/>
    <x v="1"/>
  </r>
  <r>
    <s v="013"/>
    <x v="1"/>
  </r>
  <r>
    <s v="014"/>
    <x v="1"/>
  </r>
  <r>
    <s v="015"/>
    <x v="0"/>
  </r>
  <r>
    <s v="016"/>
    <x v="1"/>
  </r>
  <r>
    <s v="017"/>
    <x v="1"/>
  </r>
  <r>
    <s v="018"/>
    <x v="1"/>
  </r>
  <r>
    <s v="019"/>
    <x v="1"/>
  </r>
  <r>
    <s v="02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26F7E-CFA0-C240-B417-FF666F94B7B1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:K5" firstHeaderRow="1" firstDataRow="1" firstDataCol="1"/>
  <pivotFields count="2">
    <pivotField dataField="1" showAll="0"/>
    <pivotField axis="axisRow" showAll="0">
      <items count="4">
        <item x="1"/>
        <item x="0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Normal="100" workbookViewId="0">
      <selection activeCell="M54" sqref="M5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E1" s="8" t="s">
        <v>49</v>
      </c>
      <c r="F1" s="8"/>
    </row>
    <row r="2" spans="1:7" x14ac:dyDescent="0.2">
      <c r="A2" t="s">
        <v>3</v>
      </c>
      <c r="B2">
        <v>5</v>
      </c>
      <c r="C2">
        <v>12</v>
      </c>
      <c r="E2" s="3" t="s">
        <v>41</v>
      </c>
      <c r="F2">
        <f>AVERAGE(B2:B13)</f>
        <v>6.833333333333333</v>
      </c>
    </row>
    <row r="3" spans="1:7" x14ac:dyDescent="0.2">
      <c r="A3" t="s">
        <v>4</v>
      </c>
      <c r="B3">
        <v>5.5</v>
      </c>
      <c r="C3">
        <v>14</v>
      </c>
      <c r="E3" s="3" t="s">
        <v>42</v>
      </c>
      <c r="F3">
        <f>MEDIAN(B2:B13)</f>
        <v>6.75</v>
      </c>
    </row>
    <row r="4" spans="1:7" x14ac:dyDescent="0.2">
      <c r="A4" t="s">
        <v>5</v>
      </c>
      <c r="B4">
        <v>6</v>
      </c>
      <c r="C4">
        <v>15</v>
      </c>
      <c r="E4" s="3" t="s">
        <v>43</v>
      </c>
      <c r="F4">
        <f>_xlfn.MODE.SNGL(B2:B13)</f>
        <v>6</v>
      </c>
      <c r="G4" cm="1">
        <f t="array" ref="G4:G7">_xlfn.MODE.MULT(B2:B13)</f>
        <v>6</v>
      </c>
    </row>
    <row r="5" spans="1:7" x14ac:dyDescent="0.2">
      <c r="A5" t="s">
        <v>6</v>
      </c>
      <c r="B5">
        <v>6</v>
      </c>
      <c r="C5">
        <v>15</v>
      </c>
      <c r="G5">
        <v>6.5</v>
      </c>
    </row>
    <row r="6" spans="1:7" x14ac:dyDescent="0.2">
      <c r="A6" t="s">
        <v>7</v>
      </c>
      <c r="B6">
        <v>6.5</v>
      </c>
      <c r="C6">
        <v>16</v>
      </c>
      <c r="G6">
        <v>7</v>
      </c>
    </row>
    <row r="7" spans="1:7" x14ac:dyDescent="0.2">
      <c r="A7" t="s">
        <v>8</v>
      </c>
      <c r="B7">
        <v>6.5</v>
      </c>
      <c r="C7">
        <v>17</v>
      </c>
      <c r="G7">
        <v>8</v>
      </c>
    </row>
    <row r="8" spans="1:7" x14ac:dyDescent="0.2">
      <c r="A8" t="s">
        <v>9</v>
      </c>
      <c r="B8">
        <v>7</v>
      </c>
      <c r="C8">
        <v>18</v>
      </c>
      <c r="E8" s="3" t="s">
        <v>44</v>
      </c>
      <c r="F8">
        <f>MIN(B2:B13)</f>
        <v>5</v>
      </c>
    </row>
    <row r="9" spans="1:7" x14ac:dyDescent="0.2">
      <c r="A9" t="s">
        <v>10</v>
      </c>
      <c r="B9">
        <v>7</v>
      </c>
      <c r="C9">
        <v>19</v>
      </c>
      <c r="E9" s="3" t="s">
        <v>45</v>
      </c>
      <c r="F9">
        <f>MAX(B2:B13)</f>
        <v>9</v>
      </c>
    </row>
    <row r="10" spans="1:7" x14ac:dyDescent="0.2">
      <c r="A10" t="s">
        <v>11</v>
      </c>
      <c r="B10">
        <v>7.5</v>
      </c>
      <c r="C10">
        <v>20</v>
      </c>
      <c r="E10" s="3" t="s">
        <v>46</v>
      </c>
      <c r="F10">
        <f>F9-F8</f>
        <v>4</v>
      </c>
      <c r="G10">
        <f>MAX(B2:B13)-MIN(B2:B13)</f>
        <v>4</v>
      </c>
    </row>
    <row r="11" spans="1:7" x14ac:dyDescent="0.2">
      <c r="A11" t="s">
        <v>12</v>
      </c>
      <c r="B11">
        <v>8</v>
      </c>
      <c r="C11">
        <v>22</v>
      </c>
      <c r="E11" s="3" t="s">
        <v>47</v>
      </c>
      <c r="F11">
        <f>_xlfn.VAR.S(B2:B13)</f>
        <v>1.3333333333333299</v>
      </c>
    </row>
    <row r="12" spans="1:7" x14ac:dyDescent="0.2">
      <c r="A12" t="s">
        <v>13</v>
      </c>
      <c r="B12">
        <v>8</v>
      </c>
      <c r="C12">
        <v>25</v>
      </c>
      <c r="E12" s="3" t="s">
        <v>48</v>
      </c>
      <c r="F12">
        <f>_xlfn.STDEV.S(B2:B13)</f>
        <v>1.1547005383792501</v>
      </c>
    </row>
    <row r="13" spans="1:7" x14ac:dyDescent="0.2">
      <c r="A13" t="s">
        <v>14</v>
      </c>
      <c r="B13">
        <v>9</v>
      </c>
      <c r="C13">
        <v>35</v>
      </c>
    </row>
  </sheetData>
  <mergeCells count="1">
    <mergeCell ref="E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workbookViewId="0">
      <selection activeCell="J1" sqref="J1:K5"/>
    </sheetView>
  </sheetViews>
  <sheetFormatPr baseColWidth="10" defaultColWidth="8.83203125" defaultRowHeight="16" x14ac:dyDescent="0.2"/>
  <cols>
    <col min="1" max="1" width="4.1640625" bestFit="1" customWidth="1"/>
    <col min="2" max="2" width="7.1640625" bestFit="1" customWidth="1"/>
    <col min="3" max="3" width="5.1640625" bestFit="1" customWidth="1"/>
    <col min="4" max="4" width="6.33203125" bestFit="1" customWidth="1"/>
    <col min="10" max="10" width="13" bestFit="1" customWidth="1"/>
    <col min="11" max="11" width="10" bestFit="1" customWidth="1"/>
  </cols>
  <sheetData>
    <row r="1" spans="1:11" ht="20" customHeight="1" x14ac:dyDescent="0.2">
      <c r="A1" s="1" t="s">
        <v>15</v>
      </c>
      <c r="B1" s="1" t="s">
        <v>16</v>
      </c>
      <c r="C1" s="1" t="s">
        <v>17</v>
      </c>
      <c r="D1" s="1" t="s">
        <v>18</v>
      </c>
      <c r="F1" s="8" t="s">
        <v>50</v>
      </c>
      <c r="G1" s="8"/>
      <c r="J1" s="10" t="s">
        <v>64</v>
      </c>
      <c r="K1" t="s">
        <v>67</v>
      </c>
    </row>
    <row r="2" spans="1:11" ht="20" customHeight="1" x14ac:dyDescent="0.2">
      <c r="A2" s="2" t="s">
        <v>19</v>
      </c>
      <c r="B2" s="1" t="s">
        <v>20</v>
      </c>
      <c r="C2" s="1">
        <v>71</v>
      </c>
      <c r="D2" s="1">
        <v>190</v>
      </c>
      <c r="F2" s="3" t="s">
        <v>41</v>
      </c>
      <c r="G2">
        <f>AVERAGE(C2:C21)</f>
        <v>68.400000000000006</v>
      </c>
      <c r="J2" s="11" t="s">
        <v>23</v>
      </c>
      <c r="K2" s="12">
        <v>12</v>
      </c>
    </row>
    <row r="3" spans="1:11" ht="20" customHeight="1" x14ac:dyDescent="0.2">
      <c r="A3" s="2" t="s">
        <v>21</v>
      </c>
      <c r="B3" s="1" t="s">
        <v>20</v>
      </c>
      <c r="C3" s="1">
        <v>69</v>
      </c>
      <c r="D3" s="1">
        <v>177</v>
      </c>
      <c r="F3" s="3" t="s">
        <v>42</v>
      </c>
      <c r="G3">
        <f>MEDIAN(C2:C21)</f>
        <v>68.5</v>
      </c>
      <c r="J3" s="11" t="s">
        <v>20</v>
      </c>
      <c r="K3" s="12">
        <v>6</v>
      </c>
    </row>
    <row r="4" spans="1:11" ht="20" customHeight="1" x14ac:dyDescent="0.2">
      <c r="A4" s="2" t="s">
        <v>22</v>
      </c>
      <c r="B4" s="1" t="s">
        <v>23</v>
      </c>
      <c r="C4" s="1">
        <v>64</v>
      </c>
      <c r="D4" s="1">
        <v>130</v>
      </c>
      <c r="F4" s="3" t="s">
        <v>43</v>
      </c>
      <c r="G4" cm="1">
        <f t="array" ref="G4:G5">_xlfn.MODE.MULT(C2:C21)</f>
        <v>69</v>
      </c>
      <c r="J4" s="11" t="s">
        <v>65</v>
      </c>
      <c r="K4" s="12">
        <v>2</v>
      </c>
    </row>
    <row r="5" spans="1:11" ht="20" customHeight="1" x14ac:dyDescent="0.2">
      <c r="A5" s="2" t="s">
        <v>24</v>
      </c>
      <c r="B5" s="1" t="s">
        <v>23</v>
      </c>
      <c r="C5" s="1">
        <v>65</v>
      </c>
      <c r="D5" s="1">
        <v>153</v>
      </c>
      <c r="G5">
        <v>65</v>
      </c>
      <c r="J5" s="11" t="s">
        <v>66</v>
      </c>
      <c r="K5" s="12">
        <v>20</v>
      </c>
    </row>
    <row r="6" spans="1:11" ht="20" customHeight="1" x14ac:dyDescent="0.2">
      <c r="A6" s="2" t="s">
        <v>25</v>
      </c>
      <c r="B6" s="1"/>
      <c r="C6" s="1">
        <v>73</v>
      </c>
      <c r="D6" s="1">
        <v>173</v>
      </c>
      <c r="F6" s="3" t="s">
        <v>44</v>
      </c>
      <c r="G6">
        <f>MIN(C2:C21)</f>
        <v>64</v>
      </c>
    </row>
    <row r="7" spans="1:11" ht="20" customHeight="1" x14ac:dyDescent="0.2">
      <c r="A7" s="2" t="s">
        <v>26</v>
      </c>
      <c r="B7" s="1" t="s">
        <v>20</v>
      </c>
      <c r="C7" s="1">
        <v>69</v>
      </c>
      <c r="D7" s="1">
        <v>182</v>
      </c>
      <c r="F7" s="3" t="s">
        <v>45</v>
      </c>
      <c r="G7">
        <f>MAX(C2:C21)</f>
        <v>75</v>
      </c>
    </row>
    <row r="8" spans="1:11" ht="20" customHeight="1" x14ac:dyDescent="0.2">
      <c r="A8" s="2" t="s">
        <v>27</v>
      </c>
      <c r="B8" s="1" t="s">
        <v>23</v>
      </c>
      <c r="C8" s="1">
        <v>68</v>
      </c>
      <c r="D8" s="1">
        <v>186</v>
      </c>
      <c r="F8" s="3" t="s">
        <v>46</v>
      </c>
      <c r="G8">
        <f>G7-G6</f>
        <v>11</v>
      </c>
      <c r="H8">
        <f>MAX(C2:C21)-MIN(C2:C21)</f>
        <v>11</v>
      </c>
    </row>
    <row r="9" spans="1:11" ht="20" customHeight="1" x14ac:dyDescent="0.2">
      <c r="A9" s="2" t="s">
        <v>28</v>
      </c>
      <c r="B9" s="1"/>
      <c r="C9" s="1">
        <v>73</v>
      </c>
      <c r="D9" s="1">
        <v>185</v>
      </c>
      <c r="F9" s="3" t="s">
        <v>47</v>
      </c>
      <c r="G9">
        <f>_xlfn.VAR.S(C2:C21)</f>
        <v>10.042105263157893</v>
      </c>
    </row>
    <row r="10" spans="1:11" ht="20" customHeight="1" x14ac:dyDescent="0.2">
      <c r="A10" s="2" t="s">
        <v>29</v>
      </c>
      <c r="B10" s="1" t="s">
        <v>23</v>
      </c>
      <c r="C10" s="1">
        <v>71</v>
      </c>
      <c r="D10" s="1">
        <v>157</v>
      </c>
      <c r="F10" s="3" t="s">
        <v>48</v>
      </c>
      <c r="G10">
        <f>_xlfn.STDEV.S(C2:C21)</f>
        <v>3.1689280937184252</v>
      </c>
    </row>
    <row r="11" spans="1:11" ht="20" customHeight="1" x14ac:dyDescent="0.2">
      <c r="A11" s="2" t="s">
        <v>30</v>
      </c>
      <c r="B11" s="1" t="s">
        <v>20</v>
      </c>
      <c r="C11" s="1">
        <v>66</v>
      </c>
      <c r="D11" s="1">
        <v>155</v>
      </c>
      <c r="F11" s="3" t="s">
        <v>60</v>
      </c>
      <c r="G11">
        <f>_xlfn.QUARTILE.INC(C2:C21,1)</f>
        <v>65.75</v>
      </c>
    </row>
    <row r="12" spans="1:11" ht="20" customHeight="1" x14ac:dyDescent="0.2">
      <c r="A12" s="2" t="s">
        <v>31</v>
      </c>
      <c r="B12" s="1" t="s">
        <v>20</v>
      </c>
      <c r="C12" s="1">
        <v>71</v>
      </c>
      <c r="D12" s="1">
        <v>213</v>
      </c>
      <c r="F12" s="3" t="s">
        <v>61</v>
      </c>
      <c r="G12">
        <f>_xlfn.QUARTILE.INC(C2:C21,2)</f>
        <v>68.5</v>
      </c>
    </row>
    <row r="13" spans="1:11" ht="20" customHeight="1" x14ac:dyDescent="0.2">
      <c r="A13" s="2" t="s">
        <v>32</v>
      </c>
      <c r="B13" s="1" t="s">
        <v>23</v>
      </c>
      <c r="C13" s="1">
        <v>69</v>
      </c>
      <c r="D13" s="1">
        <v>151</v>
      </c>
      <c r="F13" s="3" t="s">
        <v>62</v>
      </c>
      <c r="G13">
        <f>_xlfn.QUARTILE.INC(C2:C21,3)</f>
        <v>71</v>
      </c>
    </row>
    <row r="14" spans="1:11" ht="20" customHeight="1" x14ac:dyDescent="0.2">
      <c r="A14" s="2" t="s">
        <v>33</v>
      </c>
      <c r="B14" s="1" t="s">
        <v>23</v>
      </c>
      <c r="C14" s="1">
        <v>66</v>
      </c>
      <c r="D14" s="1">
        <v>147</v>
      </c>
      <c r="F14" s="3" t="s">
        <v>63</v>
      </c>
      <c r="G14">
        <f>G13-G11</f>
        <v>5.25</v>
      </c>
      <c r="H14">
        <f>_xlfn.QUARTILE.INC(C2:C21,3) - _xlfn.QUARTILE.INC(C2:C21,1)</f>
        <v>5.25</v>
      </c>
    </row>
    <row r="15" spans="1:11" ht="20" customHeight="1" x14ac:dyDescent="0.2">
      <c r="A15" s="2" t="s">
        <v>34</v>
      </c>
      <c r="B15" s="1" t="s">
        <v>23</v>
      </c>
      <c r="C15" s="1">
        <v>68</v>
      </c>
      <c r="D15" s="1">
        <v>196</v>
      </c>
    </row>
    <row r="16" spans="1:11" ht="20" customHeight="1" x14ac:dyDescent="0.2">
      <c r="A16" s="2" t="s">
        <v>35</v>
      </c>
      <c r="B16" s="1" t="s">
        <v>20</v>
      </c>
      <c r="C16" s="1">
        <v>75</v>
      </c>
      <c r="D16" s="1">
        <v>212</v>
      </c>
    </row>
    <row r="17" spans="1:4" ht="20" customHeight="1" x14ac:dyDescent="0.2">
      <c r="A17" s="2" t="s">
        <v>36</v>
      </c>
      <c r="B17" s="1" t="s">
        <v>23</v>
      </c>
      <c r="C17" s="1">
        <v>69</v>
      </c>
      <c r="D17" s="1">
        <v>19000</v>
      </c>
    </row>
    <row r="18" spans="1:4" ht="20" customHeight="1" x14ac:dyDescent="0.2">
      <c r="A18" s="2" t="s">
        <v>37</v>
      </c>
      <c r="B18" s="1" t="s">
        <v>23</v>
      </c>
      <c r="C18" s="1">
        <v>66</v>
      </c>
      <c r="D18" s="1">
        <v>194</v>
      </c>
    </row>
    <row r="19" spans="1:4" ht="20" customHeight="1" x14ac:dyDescent="0.2">
      <c r="A19" s="2" t="s">
        <v>38</v>
      </c>
      <c r="B19" s="1" t="s">
        <v>23</v>
      </c>
      <c r="C19" s="1">
        <v>65</v>
      </c>
      <c r="D19" s="1">
        <v>176</v>
      </c>
    </row>
    <row r="20" spans="1:4" ht="20" customHeight="1" x14ac:dyDescent="0.2">
      <c r="A20" s="2" t="s">
        <v>39</v>
      </c>
      <c r="B20" s="1" t="s">
        <v>23</v>
      </c>
      <c r="C20" s="1">
        <v>65</v>
      </c>
      <c r="D20" s="1">
        <v>176</v>
      </c>
    </row>
    <row r="21" spans="1:4" ht="20" customHeight="1" x14ac:dyDescent="0.2">
      <c r="A21" s="2" t="s">
        <v>40</v>
      </c>
      <c r="B21" s="1" t="s">
        <v>23</v>
      </c>
      <c r="C21" s="1">
        <v>65</v>
      </c>
      <c r="D21" s="1">
        <v>102</v>
      </c>
    </row>
  </sheetData>
  <mergeCells count="1">
    <mergeCell ref="F1:G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5D7F-3FD1-E542-9165-604B350095C5}">
  <dimension ref="A1:O21"/>
  <sheetViews>
    <sheetView workbookViewId="0">
      <selection activeCell="L8" sqref="L8"/>
    </sheetView>
  </sheetViews>
  <sheetFormatPr baseColWidth="10" defaultRowHeight="16" x14ac:dyDescent="0.2"/>
  <cols>
    <col min="1" max="1" width="6" bestFit="1" customWidth="1"/>
    <col min="2" max="2" width="9.83203125" bestFit="1" customWidth="1"/>
    <col min="3" max="3" width="12.1640625" bestFit="1" customWidth="1"/>
    <col min="4" max="4" width="9.83203125" bestFit="1" customWidth="1"/>
    <col min="5" max="5" width="12.1640625" bestFit="1" customWidth="1"/>
    <col min="8" max="12" width="11.83203125" customWidth="1"/>
  </cols>
  <sheetData>
    <row r="1" spans="1:15" x14ac:dyDescent="0.2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G1" s="9" t="s">
        <v>56</v>
      </c>
      <c r="H1" s="9"/>
      <c r="I1" s="9"/>
      <c r="J1" s="9"/>
      <c r="K1" s="9"/>
      <c r="L1" s="9"/>
    </row>
    <row r="2" spans="1:15" x14ac:dyDescent="0.2">
      <c r="A2" s="1">
        <v>68</v>
      </c>
      <c r="B2" s="1">
        <v>58</v>
      </c>
      <c r="C2" s="1">
        <v>58</v>
      </c>
      <c r="D2" s="1">
        <v>48</v>
      </c>
      <c r="E2" s="1">
        <v>48</v>
      </c>
      <c r="H2" s="6" t="s">
        <v>51</v>
      </c>
      <c r="I2" s="6" t="s">
        <v>52</v>
      </c>
      <c r="J2" s="6" t="s">
        <v>53</v>
      </c>
      <c r="K2" s="6" t="s">
        <v>54</v>
      </c>
      <c r="L2" s="6" t="s">
        <v>55</v>
      </c>
    </row>
    <row r="3" spans="1:15" x14ac:dyDescent="0.2">
      <c r="A3" s="1">
        <v>68</v>
      </c>
      <c r="B3" s="1">
        <v>58</v>
      </c>
      <c r="C3" s="1">
        <v>59.05263157894737</v>
      </c>
      <c r="D3" s="1">
        <v>48</v>
      </c>
      <c r="E3" s="1">
        <v>50.10526315789474</v>
      </c>
      <c r="G3" s="3" t="s">
        <v>57</v>
      </c>
      <c r="H3" s="4">
        <f>AVERAGE(A2:A21)</f>
        <v>68</v>
      </c>
      <c r="I3" s="4">
        <f t="shared" ref="I3:L3" si="0">AVERAGE(B2:B21)</f>
        <v>68</v>
      </c>
      <c r="J3" s="4">
        <f t="shared" si="0"/>
        <v>68</v>
      </c>
      <c r="K3" s="4">
        <f t="shared" si="0"/>
        <v>68</v>
      </c>
      <c r="L3" s="4">
        <f t="shared" si="0"/>
        <v>68.000000000000014</v>
      </c>
    </row>
    <row r="4" spans="1:15" x14ac:dyDescent="0.2">
      <c r="A4" s="1">
        <v>68</v>
      </c>
      <c r="B4" s="1">
        <v>58</v>
      </c>
      <c r="C4" s="1">
        <v>60.10526315789474</v>
      </c>
      <c r="D4" s="1">
        <v>48</v>
      </c>
      <c r="E4" s="1">
        <v>52.210526315789473</v>
      </c>
      <c r="G4" s="3" t="s">
        <v>58</v>
      </c>
      <c r="H4" s="4">
        <f>_xlfn.VAR.S(A2:A21)</f>
        <v>0</v>
      </c>
      <c r="I4" s="7">
        <f t="shared" ref="I4:L4" si="1">_xlfn.VAR.S(B2:B21)</f>
        <v>105.26315789473684</v>
      </c>
      <c r="J4" s="7">
        <f t="shared" si="1"/>
        <v>38.781163434903036</v>
      </c>
      <c r="K4" s="7">
        <f t="shared" si="1"/>
        <v>421.05263157894734</v>
      </c>
      <c r="L4" s="7">
        <f t="shared" si="1"/>
        <v>155.12465373961115</v>
      </c>
      <c r="O4" s="4"/>
    </row>
    <row r="5" spans="1:15" x14ac:dyDescent="0.2">
      <c r="A5" s="1">
        <v>68</v>
      </c>
      <c r="B5" s="1">
        <v>58</v>
      </c>
      <c r="C5" s="1">
        <v>61.157894736842103</v>
      </c>
      <c r="D5" s="1">
        <v>48</v>
      </c>
      <c r="E5" s="1">
        <v>54.315789473684212</v>
      </c>
      <c r="G5" s="3" t="s">
        <v>59</v>
      </c>
      <c r="H5" s="4">
        <f>_xlfn.STDEV.S(A2:A21)</f>
        <v>0</v>
      </c>
      <c r="I5" s="7">
        <f t="shared" ref="I5:L5" si="2">_xlfn.STDEV.S(B2:B21)</f>
        <v>10.25978352085154</v>
      </c>
      <c r="J5" s="7">
        <f t="shared" si="2"/>
        <v>6.2274524032627525</v>
      </c>
      <c r="K5" s="7">
        <f t="shared" si="2"/>
        <v>20.51956704170308</v>
      </c>
      <c r="L5" s="7">
        <f t="shared" si="2"/>
        <v>12.454904806525466</v>
      </c>
    </row>
    <row r="6" spans="1:15" x14ac:dyDescent="0.2">
      <c r="A6" s="1">
        <v>68</v>
      </c>
      <c r="B6" s="1">
        <v>58</v>
      </c>
      <c r="C6" s="1">
        <v>62.210526315789473</v>
      </c>
      <c r="D6" s="1">
        <v>48</v>
      </c>
      <c r="E6" s="1">
        <v>56.421052631578945</v>
      </c>
      <c r="G6" s="3"/>
      <c r="H6" s="4"/>
      <c r="I6" s="4"/>
      <c r="J6" s="4"/>
      <c r="K6" s="4"/>
      <c r="L6" s="4"/>
    </row>
    <row r="7" spans="1:15" x14ac:dyDescent="0.2">
      <c r="A7" s="1">
        <v>68</v>
      </c>
      <c r="B7" s="1">
        <v>58</v>
      </c>
      <c r="C7" s="1">
        <v>63.263157894736842</v>
      </c>
      <c r="D7" s="1">
        <v>48</v>
      </c>
      <c r="E7" s="1">
        <v>58.526315789473685</v>
      </c>
    </row>
    <row r="8" spans="1:15" x14ac:dyDescent="0.2">
      <c r="A8" s="1">
        <v>68</v>
      </c>
      <c r="B8" s="1">
        <v>58</v>
      </c>
      <c r="C8" s="1">
        <v>64.315789473684205</v>
      </c>
      <c r="D8" s="1">
        <v>48</v>
      </c>
      <c r="E8" s="1">
        <v>60.631578947368425</v>
      </c>
    </row>
    <row r="9" spans="1:15" x14ac:dyDescent="0.2">
      <c r="A9" s="1">
        <v>68</v>
      </c>
      <c r="B9" s="1">
        <v>58</v>
      </c>
      <c r="C9" s="1">
        <v>65.368421052631575</v>
      </c>
      <c r="D9" s="1">
        <v>48</v>
      </c>
      <c r="E9" s="1">
        <v>62.736842105263158</v>
      </c>
    </row>
    <row r="10" spans="1:15" x14ac:dyDescent="0.2">
      <c r="A10" s="1">
        <v>68</v>
      </c>
      <c r="B10" s="1">
        <v>58</v>
      </c>
      <c r="C10" s="1">
        <v>66.421052631578945</v>
      </c>
      <c r="D10" s="1">
        <v>48</v>
      </c>
      <c r="E10" s="1">
        <v>64.84210526315789</v>
      </c>
    </row>
    <row r="11" spans="1:15" x14ac:dyDescent="0.2">
      <c r="A11" s="1">
        <v>68</v>
      </c>
      <c r="B11" s="1">
        <v>58</v>
      </c>
      <c r="C11" s="1">
        <v>67.473684210526315</v>
      </c>
      <c r="D11" s="1">
        <v>48</v>
      </c>
      <c r="E11" s="1">
        <v>66.94736842105263</v>
      </c>
    </row>
    <row r="12" spans="1:15" x14ac:dyDescent="0.2">
      <c r="A12" s="1">
        <v>68</v>
      </c>
      <c r="B12" s="1">
        <v>78</v>
      </c>
      <c r="C12" s="1">
        <v>68.526315789473685</v>
      </c>
      <c r="D12" s="1">
        <v>88</v>
      </c>
      <c r="E12" s="1">
        <v>69.05263157894737</v>
      </c>
    </row>
    <row r="13" spans="1:15" x14ac:dyDescent="0.2">
      <c r="A13" s="1">
        <v>68</v>
      </c>
      <c r="B13" s="1">
        <v>78</v>
      </c>
      <c r="C13" s="1">
        <v>69.578947368421055</v>
      </c>
      <c r="D13" s="1">
        <v>88</v>
      </c>
      <c r="E13" s="1">
        <v>71.15789473684211</v>
      </c>
    </row>
    <row r="14" spans="1:15" x14ac:dyDescent="0.2">
      <c r="A14" s="1">
        <v>68</v>
      </c>
      <c r="B14" s="1">
        <v>78</v>
      </c>
      <c r="C14" s="1">
        <v>70.631578947368425</v>
      </c>
      <c r="D14" s="1">
        <v>88</v>
      </c>
      <c r="E14" s="1">
        <v>73.26315789473685</v>
      </c>
    </row>
    <row r="15" spans="1:15" x14ac:dyDescent="0.2">
      <c r="A15" s="1">
        <v>68</v>
      </c>
      <c r="B15" s="1">
        <v>78</v>
      </c>
      <c r="C15" s="1">
        <v>71.684210526315795</v>
      </c>
      <c r="D15" s="1">
        <v>88</v>
      </c>
      <c r="E15" s="1">
        <v>75.368421052631575</v>
      </c>
    </row>
    <row r="16" spans="1:15" x14ac:dyDescent="0.2">
      <c r="A16" s="1">
        <v>68</v>
      </c>
      <c r="B16" s="1">
        <v>78</v>
      </c>
      <c r="C16" s="1">
        <v>72.73684210526315</v>
      </c>
      <c r="D16" s="1">
        <v>88</v>
      </c>
      <c r="E16" s="1">
        <v>77.473684210526315</v>
      </c>
    </row>
    <row r="17" spans="1:5" x14ac:dyDescent="0.2">
      <c r="A17" s="1">
        <v>68</v>
      </c>
      <c r="B17" s="1">
        <v>78</v>
      </c>
      <c r="C17" s="1">
        <v>73.78947368421052</v>
      </c>
      <c r="D17" s="1">
        <v>88</v>
      </c>
      <c r="E17" s="1">
        <v>79.578947368421055</v>
      </c>
    </row>
    <row r="18" spans="1:5" x14ac:dyDescent="0.2">
      <c r="A18" s="1">
        <v>68</v>
      </c>
      <c r="B18" s="1">
        <v>78</v>
      </c>
      <c r="C18" s="1">
        <v>74.84210526315789</v>
      </c>
      <c r="D18" s="1">
        <v>88</v>
      </c>
      <c r="E18" s="1">
        <v>81.68421052631578</v>
      </c>
    </row>
    <row r="19" spans="1:5" x14ac:dyDescent="0.2">
      <c r="A19" s="1">
        <v>68</v>
      </c>
      <c r="B19" s="1">
        <v>78</v>
      </c>
      <c r="C19" s="1">
        <v>75.89473684210526</v>
      </c>
      <c r="D19" s="1">
        <v>88</v>
      </c>
      <c r="E19" s="1">
        <v>83.78947368421052</v>
      </c>
    </row>
    <row r="20" spans="1:5" x14ac:dyDescent="0.2">
      <c r="A20" s="1">
        <v>68</v>
      </c>
      <c r="B20" s="1">
        <v>78</v>
      </c>
      <c r="C20" s="1">
        <v>76.94736842105263</v>
      </c>
      <c r="D20" s="1">
        <v>88</v>
      </c>
      <c r="E20" s="1">
        <v>85.89473684210526</v>
      </c>
    </row>
    <row r="21" spans="1:5" x14ac:dyDescent="0.2">
      <c r="A21" s="1">
        <v>68</v>
      </c>
      <c r="B21" s="1">
        <v>78</v>
      </c>
      <c r="C21" s="1">
        <v>78</v>
      </c>
      <c r="D21" s="1">
        <v>88</v>
      </c>
      <c r="E21" s="1">
        <v>88</v>
      </c>
    </row>
  </sheetData>
  <mergeCells count="1"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sleep_and_stress</vt:lpstr>
      <vt:lpstr>height_and_weight</vt:lpstr>
      <vt:lpstr>comparing_distributions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Cannell</cp:lastModifiedBy>
  <dcterms:modified xsi:type="dcterms:W3CDTF">2026-10-28T19:57:36Z</dcterms:modified>
</cp:coreProperties>
</file>